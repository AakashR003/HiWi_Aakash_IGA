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iWi\Work 3 - IGA - Ricky\Tasks\5.Reissner-Mindlin Shell Element\"/>
    </mc:Choice>
  </mc:AlternateContent>
  <xr:revisionPtr revIDLastSave="0" documentId="13_ncr:1_{EDBF6235-8D74-4341-8C26-1D3D79C6C62C}" xr6:coauthVersionLast="47" xr6:coauthVersionMax="47" xr10:uidLastSave="{00000000-0000-0000-0000-000000000000}"/>
  <bookViews>
    <workbookView xWindow="-108" yWindow="-108" windowWidth="23256" windowHeight="12456" xr2:uid="{0EA981D5-75D6-4530-AEAE-67DC1E8343F9}"/>
  </bookViews>
  <sheets>
    <sheet name="Sheet1" sheetId="1" r:id="rId1"/>
  </sheets>
  <definedNames>
    <definedName name="_xlchart.v1.0" hidden="1">Sheet1!$P$11:$P$21</definedName>
    <definedName name="_xlchart.v1.1" hidden="1">Sheet1!$Q$11:$Q$21</definedName>
    <definedName name="_xlchart.v1.2" hidden="1">Sheet1!$R$11:$R$21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1" l="1"/>
  <c r="P13" i="1"/>
  <c r="P14" i="1"/>
  <c r="P15" i="1"/>
  <c r="P16" i="1"/>
  <c r="P17" i="1"/>
  <c r="P18" i="1"/>
  <c r="P19" i="1"/>
  <c r="P20" i="1"/>
  <c r="P21" i="1"/>
  <c r="H11" i="1"/>
  <c r="L11" i="1"/>
  <c r="P11" i="1"/>
  <c r="L12" i="1"/>
  <c r="L13" i="1"/>
  <c r="L14" i="1"/>
  <c r="L15" i="1"/>
  <c r="L16" i="1"/>
  <c r="L17" i="1"/>
  <c r="L18" i="1"/>
  <c r="L19" i="1"/>
  <c r="L20" i="1"/>
  <c r="L21" i="1"/>
  <c r="H13" i="1"/>
  <c r="H14" i="1"/>
  <c r="H15" i="1"/>
  <c r="H16" i="1"/>
  <c r="H17" i="1"/>
  <c r="H18" i="1"/>
  <c r="H19" i="1"/>
  <c r="H20" i="1"/>
  <c r="H21" i="1"/>
  <c r="H12" i="1"/>
</calcChain>
</file>

<file path=xl/sharedStrings.xml><?xml version="1.0" encoding="utf-8"?>
<sst xmlns="http://schemas.openxmlformats.org/spreadsheetml/2006/main" count="26" uniqueCount="13">
  <si>
    <t>Nonlinear Cantilever Plate</t>
  </si>
  <si>
    <t>Single Patch</t>
  </si>
  <si>
    <t xml:space="preserve">Load </t>
  </si>
  <si>
    <t>Displacement at U</t>
  </si>
  <si>
    <t>E</t>
  </si>
  <si>
    <t>Length</t>
  </si>
  <si>
    <t>Breadth</t>
  </si>
  <si>
    <t>Thickness</t>
  </si>
  <si>
    <t>Mu</t>
  </si>
  <si>
    <t>Pmax</t>
  </si>
  <si>
    <t>Iteration</t>
  </si>
  <si>
    <t>RM</t>
  </si>
  <si>
    <t>Kirchoff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</si>
</sst>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Load Displacement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RM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Sheet1!$I$11:$I$21</c:f>
              <c:numCache>
                <c:formatCode>0.00E+00</c:formatCode>
                <c:ptCount val="11"/>
                <c:pt idx="0" formatCode="General">
                  <c:v>0</c:v>
                </c:pt>
                <c:pt idx="1">
                  <c:v>6.6669999999999993E-2</c:v>
                </c:pt>
                <c:pt idx="2">
                  <c:v>0.13300000000000001</c:v>
                </c:pt>
                <c:pt idx="3">
                  <c:v>0.19969999999999999</c:v>
                </c:pt>
                <c:pt idx="4">
                  <c:v>0.26600000000000001</c:v>
                </c:pt>
                <c:pt idx="5">
                  <c:v>0.33200000000000002</c:v>
                </c:pt>
                <c:pt idx="6">
                  <c:v>0.39800000000000002</c:v>
                </c:pt>
                <c:pt idx="7">
                  <c:v>0.46300000000000002</c:v>
                </c:pt>
                <c:pt idx="8">
                  <c:v>0.52900000000000003</c:v>
                </c:pt>
                <c:pt idx="9">
                  <c:v>0.59299999999999997</c:v>
                </c:pt>
                <c:pt idx="10">
                  <c:v>0.65700000000000003</c:v>
                </c:pt>
              </c:numCache>
            </c:numRef>
          </c:xVal>
          <c:yVal>
            <c:numRef>
              <c:f>Sheet1!$H$11:$H$21</c:f>
              <c:numCache>
                <c:formatCode>General</c:formatCode>
                <c:ptCount val="1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3C-49C6-B27B-9975739FE96C}"/>
            </c:ext>
          </c:extLst>
        </c:ser>
        <c:ser>
          <c:idx val="0"/>
          <c:order val="1"/>
          <c:tx>
            <c:v>Kirchoff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Sheet1!$J$11:$J$21</c:f>
              <c:numCache>
                <c:formatCode>0.00E+00</c:formatCode>
                <c:ptCount val="11"/>
                <c:pt idx="0" formatCode="General">
                  <c:v>0</c:v>
                </c:pt>
                <c:pt idx="1">
                  <c:v>6.6659999999999997E-2</c:v>
                </c:pt>
                <c:pt idx="2">
                  <c:v>0.13300000000000001</c:v>
                </c:pt>
                <c:pt idx="3">
                  <c:v>0.19989999999999999</c:v>
                </c:pt>
                <c:pt idx="4">
                  <c:v>0.26600000000000001</c:v>
                </c:pt>
                <c:pt idx="5">
                  <c:v>0.33300000000000002</c:v>
                </c:pt>
                <c:pt idx="6">
                  <c:v>0.39900000000000002</c:v>
                </c:pt>
                <c:pt idx="7">
                  <c:v>0.46600000000000003</c:v>
                </c:pt>
                <c:pt idx="8">
                  <c:v>0.53200000000000003</c:v>
                </c:pt>
                <c:pt idx="9">
                  <c:v>0.59799999999999998</c:v>
                </c:pt>
                <c:pt idx="10">
                  <c:v>0.66400000000000003</c:v>
                </c:pt>
              </c:numCache>
            </c:numRef>
          </c:xVal>
          <c:yVal>
            <c:numRef>
              <c:f>Sheet1!$H$11:$H$21</c:f>
              <c:numCache>
                <c:formatCode>General</c:formatCode>
                <c:ptCount val="1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C0-405B-85FA-538BA8E66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951072"/>
        <c:axId val="801951552"/>
      </c:scatterChart>
      <c:valAx>
        <c:axId val="80195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Displacement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951552"/>
        <c:crosses val="autoZero"/>
        <c:crossBetween val="midCat"/>
      </c:valAx>
      <c:valAx>
        <c:axId val="80195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951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Load Displacement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RM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Sheet1!$I$11:$I$21</c:f>
              <c:numCache>
                <c:formatCode>0.00E+00</c:formatCode>
                <c:ptCount val="11"/>
                <c:pt idx="0" formatCode="General">
                  <c:v>0</c:v>
                </c:pt>
                <c:pt idx="1">
                  <c:v>6.6669999999999993E-2</c:v>
                </c:pt>
                <c:pt idx="2">
                  <c:v>0.13300000000000001</c:v>
                </c:pt>
                <c:pt idx="3">
                  <c:v>0.19969999999999999</c:v>
                </c:pt>
                <c:pt idx="4">
                  <c:v>0.26600000000000001</c:v>
                </c:pt>
                <c:pt idx="5">
                  <c:v>0.33200000000000002</c:v>
                </c:pt>
                <c:pt idx="6">
                  <c:v>0.39800000000000002</c:v>
                </c:pt>
                <c:pt idx="7">
                  <c:v>0.46300000000000002</c:v>
                </c:pt>
                <c:pt idx="8">
                  <c:v>0.52900000000000003</c:v>
                </c:pt>
                <c:pt idx="9">
                  <c:v>0.59299999999999997</c:v>
                </c:pt>
                <c:pt idx="10">
                  <c:v>0.65700000000000003</c:v>
                </c:pt>
              </c:numCache>
            </c:numRef>
          </c:xVal>
          <c:yVal>
            <c:numRef>
              <c:f>Sheet1!$H$11:$H$21</c:f>
              <c:numCache>
                <c:formatCode>General</c:formatCode>
                <c:ptCount val="1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AD-4AEF-B738-6ADB638DB1D4}"/>
            </c:ext>
          </c:extLst>
        </c:ser>
        <c:ser>
          <c:idx val="0"/>
          <c:order val="1"/>
          <c:tx>
            <c:v>Kirchoff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Sheet1!$J$11:$J$21</c:f>
              <c:numCache>
                <c:formatCode>0.00E+00</c:formatCode>
                <c:ptCount val="11"/>
                <c:pt idx="0" formatCode="General">
                  <c:v>0</c:v>
                </c:pt>
                <c:pt idx="1">
                  <c:v>6.6659999999999997E-2</c:v>
                </c:pt>
                <c:pt idx="2">
                  <c:v>0.13300000000000001</c:v>
                </c:pt>
                <c:pt idx="3">
                  <c:v>0.19989999999999999</c:v>
                </c:pt>
                <c:pt idx="4">
                  <c:v>0.26600000000000001</c:v>
                </c:pt>
                <c:pt idx="5">
                  <c:v>0.33300000000000002</c:v>
                </c:pt>
                <c:pt idx="6">
                  <c:v>0.39900000000000002</c:v>
                </c:pt>
                <c:pt idx="7">
                  <c:v>0.46600000000000003</c:v>
                </c:pt>
                <c:pt idx="8">
                  <c:v>0.53200000000000003</c:v>
                </c:pt>
                <c:pt idx="9">
                  <c:v>0.59799999999999998</c:v>
                </c:pt>
                <c:pt idx="10">
                  <c:v>0.66400000000000003</c:v>
                </c:pt>
              </c:numCache>
            </c:numRef>
          </c:xVal>
          <c:yVal>
            <c:numRef>
              <c:f>Sheet1!$H$11:$H$21</c:f>
              <c:numCache>
                <c:formatCode>General</c:formatCode>
                <c:ptCount val="1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AD-4AEF-B738-6ADB638DB1D4}"/>
            </c:ext>
          </c:extLst>
        </c:ser>
        <c:ser>
          <c:idx val="2"/>
          <c:order val="2"/>
          <c:tx>
            <c:v>Thickness=1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Sheet1!$M$11:$M$21</c:f>
              <c:numCache>
                <c:formatCode>0.00E+00</c:formatCode>
                <c:ptCount val="11"/>
                <c:pt idx="0" formatCode="General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0.44979999999999998</c:v>
                </c:pt>
                <c:pt idx="4">
                  <c:v>0.5968</c:v>
                </c:pt>
                <c:pt idx="5">
                  <c:v>0.74099999999999999</c:v>
                </c:pt>
                <c:pt idx="6">
                  <c:v>0.88300000000000001</c:v>
                </c:pt>
                <c:pt idx="7">
                  <c:v>1.0209999999999999</c:v>
                </c:pt>
                <c:pt idx="8" formatCode="General">
                  <c:v>1.1566000000000001</c:v>
                </c:pt>
                <c:pt idx="9" formatCode="General">
                  <c:v>1.29</c:v>
                </c:pt>
                <c:pt idx="10" formatCode="General">
                  <c:v>1.4139999999999999</c:v>
                </c:pt>
              </c:numCache>
            </c:numRef>
          </c:xVal>
          <c:yVal>
            <c:numRef>
              <c:f>Sheet1!$L$11:$L$21</c:f>
              <c:numCache>
                <c:formatCode>General</c:formatCode>
                <c:ptCount val="11"/>
                <c:pt idx="0">
                  <c:v>0</c:v>
                </c:pt>
                <c:pt idx="1">
                  <c:v>4.4999999999999998E-2</c:v>
                </c:pt>
                <c:pt idx="2">
                  <c:v>0.09</c:v>
                </c:pt>
                <c:pt idx="3">
                  <c:v>0.13500000000000001</c:v>
                </c:pt>
                <c:pt idx="4">
                  <c:v>0.18</c:v>
                </c:pt>
                <c:pt idx="5">
                  <c:v>0.22499999999999998</c:v>
                </c:pt>
                <c:pt idx="6">
                  <c:v>0.27</c:v>
                </c:pt>
                <c:pt idx="7">
                  <c:v>0.315</c:v>
                </c:pt>
                <c:pt idx="8">
                  <c:v>0.36</c:v>
                </c:pt>
                <c:pt idx="9">
                  <c:v>0.40499999999999997</c:v>
                </c:pt>
                <c:pt idx="10">
                  <c:v>0.44999999999999996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9AD-4AEF-B738-6ADB638DB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951072"/>
        <c:axId val="801951552"/>
      </c:scatterChart>
      <c:valAx>
        <c:axId val="80195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Displacement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951552"/>
        <c:crosses val="autoZero"/>
        <c:crossBetween val="midCat"/>
      </c:valAx>
      <c:valAx>
        <c:axId val="80195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951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Load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Sheet1!$Q$11:$Q$21</c:f>
              <c:numCache>
                <c:formatCode>0.00E+00</c:formatCode>
                <c:ptCount val="11"/>
                <c:pt idx="0" formatCode="General">
                  <c:v>0</c:v>
                </c:pt>
                <c:pt idx="1">
                  <c:v>0.65800000000000003</c:v>
                </c:pt>
                <c:pt idx="2">
                  <c:v>1.26</c:v>
                </c:pt>
                <c:pt idx="3">
                  <c:v>1.79</c:v>
                </c:pt>
                <c:pt idx="4">
                  <c:v>2.23</c:v>
                </c:pt>
                <c:pt idx="5">
                  <c:v>2.6</c:v>
                </c:pt>
                <c:pt idx="6">
                  <c:v>2.9</c:v>
                </c:pt>
                <c:pt idx="7">
                  <c:v>3.14</c:v>
                </c:pt>
                <c:pt idx="8" formatCode="General">
                  <c:v>3.347</c:v>
                </c:pt>
                <c:pt idx="9" formatCode="General">
                  <c:v>3.51</c:v>
                </c:pt>
                <c:pt idx="10" formatCode="General">
                  <c:v>3.65</c:v>
                </c:pt>
              </c:numCache>
            </c:numRef>
          </c:xVal>
          <c:yVal>
            <c:numRef>
              <c:f>Sheet1!$P$11:$P$21</c:f>
              <c:numCache>
                <c:formatCode>General</c:formatCode>
                <c:ptCount val="1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1.2000000000000002</c:v>
                </c:pt>
                <c:pt idx="7">
                  <c:v>1.4000000000000001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36-478F-A79F-0F12C7311B96}"/>
            </c:ext>
          </c:extLst>
        </c:ser>
        <c:ser>
          <c:idx val="1"/>
          <c:order val="1"/>
          <c:tx>
            <c:v>Kirchoff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Sheet1!$R$11:$R$21</c:f>
              <c:numCache>
                <c:formatCode>General</c:formatCode>
                <c:ptCount val="11"/>
                <c:pt idx="0">
                  <c:v>0</c:v>
                </c:pt>
                <c:pt idx="1">
                  <c:v>0.66400000000000003</c:v>
                </c:pt>
                <c:pt idx="2">
                  <c:v>1.3129999999999999</c:v>
                </c:pt>
                <c:pt idx="3">
                  <c:v>1.923</c:v>
                </c:pt>
                <c:pt idx="4">
                  <c:v>2.5</c:v>
                </c:pt>
                <c:pt idx="5">
                  <c:v>3.02</c:v>
                </c:pt>
                <c:pt idx="6">
                  <c:v>3.49</c:v>
                </c:pt>
                <c:pt idx="7">
                  <c:v>3.92</c:v>
                </c:pt>
                <c:pt idx="8">
                  <c:v>4.29</c:v>
                </c:pt>
                <c:pt idx="9">
                  <c:v>4.63</c:v>
                </c:pt>
                <c:pt idx="10">
                  <c:v>4.93</c:v>
                </c:pt>
              </c:numCache>
            </c:numRef>
          </c:xVal>
          <c:yVal>
            <c:numRef>
              <c:f>Sheet1!$P$11:$P$21</c:f>
              <c:numCache>
                <c:formatCode>General</c:formatCode>
                <c:ptCount val="1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1.2000000000000002</c:v>
                </c:pt>
                <c:pt idx="7">
                  <c:v>1.4000000000000001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36-478F-A79F-0F12C7311B9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658775008"/>
        <c:axId val="1658775488"/>
      </c:scatterChart>
      <c:valAx>
        <c:axId val="165877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775488"/>
        <c:crosses val="autoZero"/>
        <c:crossBetween val="midCat"/>
      </c:valAx>
      <c:valAx>
        <c:axId val="165877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775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2455149</xdr:colOff>
      <xdr:row>28</xdr:row>
      <xdr:rowOff>29816</xdr:rowOff>
    </xdr:from>
    <xdr:to>
      <xdr:col>10</xdr:col>
      <xdr:colOff>398042</xdr:colOff>
      <xdr:row>45</xdr:row>
      <xdr:rowOff>65838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B7C3AE-4643-CDA6-169E-3446C6D56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1274164</xdr:colOff>
      <xdr:row>28</xdr:row>
      <xdr:rowOff>24984</xdr:rowOff>
    </xdr:from>
    <xdr:to>
      <xdr:col>14</xdr:col>
      <xdr:colOff>278860</xdr:colOff>
      <xdr:row>45</xdr:row>
      <xdr:rowOff>61006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B5C83C-F1FE-4844-80E2-6C79568AB7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1034814</xdr:colOff>
      <xdr:row>29</xdr:row>
      <xdr:rowOff>25400</xdr:rowOff>
    </xdr:from>
    <xdr:to>
      <xdr:col>21</xdr:col>
      <xdr:colOff>103481</xdr:colOff>
      <xdr:row>43</xdr:row>
      <xdr:rowOff>2822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19FB1F-B90A-6CC9-908D-4AE3430FD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39BC7-A81F-4191-B419-9DAFA8F551B7}">
  <dimension ref="D5:R21"/>
  <sheetViews>
    <sheetView tabSelected="1" topLeftCell="E5" zoomScale="70" workbookViewId="0">
      <selection activeCell="O18" sqref="O18"/>
    </sheetView>
  </sheetViews>
  <sheetFormatPr defaultRowHeight="15.6" x14ac:dyDescent="0.3"/>
  <cols>
    <col min="1" max="3" width="8.88671875" style="1"/>
    <col min="4" max="4" width="9.77734375" style="1" bestFit="1" customWidth="1"/>
    <col min="5" max="5" width="37" style="1" bestFit="1" customWidth="1"/>
    <col min="6" max="6" width="8.88671875" style="1"/>
    <col min="7" max="7" width="14.88671875" style="1" bestFit="1" customWidth="1"/>
    <col min="8" max="8" width="17.33203125" style="1" bestFit="1" customWidth="1"/>
    <col min="9" max="9" width="18" style="1" customWidth="1"/>
    <col min="10" max="10" width="17.88671875" style="1" bestFit="1" customWidth="1"/>
    <col min="11" max="11" width="22.88671875" style="1" bestFit="1" customWidth="1"/>
    <col min="12" max="12" width="11.21875" style="1" customWidth="1"/>
    <col min="13" max="13" width="24.21875" style="1" customWidth="1"/>
    <col min="14" max="14" width="28.33203125" style="1" customWidth="1"/>
    <col min="15" max="15" width="22.5546875" style="1" customWidth="1"/>
    <col min="16" max="16" width="12.44140625" style="1" customWidth="1"/>
    <col min="17" max="17" width="9.6640625" style="1" bestFit="1" customWidth="1"/>
    <col min="18" max="16384" width="8.88671875" style="1"/>
  </cols>
  <sheetData>
    <row r="5" spans="4:18" ht="20.399999999999999" x14ac:dyDescent="0.35">
      <c r="E5" s="4" t="s">
        <v>0</v>
      </c>
    </row>
    <row r="7" spans="4:18" ht="21" customHeight="1" x14ac:dyDescent="0.3"/>
    <row r="8" spans="4:18" ht="24" customHeight="1" x14ac:dyDescent="0.3">
      <c r="D8" s="1" t="s">
        <v>4</v>
      </c>
      <c r="E8" s="2">
        <v>1200000</v>
      </c>
      <c r="I8" s="5" t="s">
        <v>1</v>
      </c>
      <c r="J8" s="5"/>
      <c r="L8" s="1">
        <v>0.45</v>
      </c>
      <c r="M8" s="5" t="s">
        <v>1</v>
      </c>
      <c r="N8" s="5"/>
      <c r="P8" s="1">
        <v>2</v>
      </c>
      <c r="Q8" s="5" t="s">
        <v>1</v>
      </c>
      <c r="R8" s="5"/>
    </row>
    <row r="9" spans="4:18" ht="15" customHeight="1" x14ac:dyDescent="0.3">
      <c r="D9" s="1" t="s">
        <v>5</v>
      </c>
      <c r="E9" s="1">
        <v>10</v>
      </c>
      <c r="I9" s="3" t="s">
        <v>11</v>
      </c>
      <c r="J9" s="3" t="s">
        <v>12</v>
      </c>
      <c r="K9" s="3"/>
      <c r="M9" s="3" t="s">
        <v>11</v>
      </c>
      <c r="N9" s="3" t="s">
        <v>12</v>
      </c>
      <c r="Q9" s="3" t="s">
        <v>11</v>
      </c>
      <c r="R9" s="3" t="s">
        <v>12</v>
      </c>
    </row>
    <row r="10" spans="4:18" x14ac:dyDescent="0.3">
      <c r="D10" s="1" t="s">
        <v>6</v>
      </c>
      <c r="E10" s="1">
        <v>1</v>
      </c>
      <c r="G10" s="1" t="s">
        <v>10</v>
      </c>
      <c r="H10" s="1" t="s">
        <v>2</v>
      </c>
      <c r="I10" s="1" t="s">
        <v>3</v>
      </c>
      <c r="J10" s="1" t="s">
        <v>3</v>
      </c>
      <c r="L10" s="1" t="s">
        <v>2</v>
      </c>
      <c r="M10" s="1" t="s">
        <v>3</v>
      </c>
      <c r="N10" s="1" t="s">
        <v>3</v>
      </c>
      <c r="P10" s="1" t="s">
        <v>2</v>
      </c>
      <c r="Q10" s="1" t="s">
        <v>3</v>
      </c>
      <c r="R10" s="1" t="s">
        <v>3</v>
      </c>
    </row>
    <row r="11" spans="4:18" x14ac:dyDescent="0.3">
      <c r="D11" s="1" t="s">
        <v>7</v>
      </c>
      <c r="E11" s="1">
        <v>0.1</v>
      </c>
      <c r="G11" s="1">
        <v>0</v>
      </c>
      <c r="H11" s="1">
        <f>E$13/MAX(G11:G20)*G11</f>
        <v>0</v>
      </c>
      <c r="I11" s="1">
        <v>0</v>
      </c>
      <c r="J11" s="1">
        <v>0</v>
      </c>
      <c r="L11" s="1">
        <f>L$8/MAX(G11:G20)*G11</f>
        <v>0</v>
      </c>
      <c r="M11" s="1">
        <v>0</v>
      </c>
      <c r="P11" s="1">
        <f>P$8/MAX(G11:G20)*G11</f>
        <v>0</v>
      </c>
      <c r="Q11" s="1">
        <v>0</v>
      </c>
      <c r="R11" s="1">
        <v>0</v>
      </c>
    </row>
    <row r="12" spans="4:18" x14ac:dyDescent="0.3">
      <c r="D12" s="1" t="s">
        <v>8</v>
      </c>
      <c r="E12" s="1">
        <v>0</v>
      </c>
      <c r="G12" s="1">
        <v>1</v>
      </c>
      <c r="H12" s="1">
        <f>E$13/MAX(G12:G21)*G12</f>
        <v>0.02</v>
      </c>
      <c r="I12" s="2">
        <v>6.6669999999999993E-2</v>
      </c>
      <c r="J12" s="2">
        <v>6.6659999999999997E-2</v>
      </c>
      <c r="L12" s="1">
        <f>L$8/MAX(G12:G21)*G12</f>
        <v>4.4999999999999998E-2</v>
      </c>
      <c r="M12" s="2">
        <v>0.15</v>
      </c>
      <c r="P12" s="1">
        <f t="shared" ref="P12:P21" si="0">P$8/MAX(G12:G21)*G12</f>
        <v>0.2</v>
      </c>
      <c r="Q12" s="2">
        <v>0.65800000000000003</v>
      </c>
      <c r="R12" s="1">
        <v>0.66400000000000003</v>
      </c>
    </row>
    <row r="13" spans="4:18" x14ac:dyDescent="0.3">
      <c r="D13" s="1" t="s">
        <v>9</v>
      </c>
      <c r="E13" s="1">
        <v>0.2</v>
      </c>
      <c r="G13" s="1">
        <v>2</v>
      </c>
      <c r="H13" s="1">
        <f t="shared" ref="H13:H21" si="1">E$13/MAX(G13:G21)*G13</f>
        <v>0.04</v>
      </c>
      <c r="I13" s="2">
        <v>0.13300000000000001</v>
      </c>
      <c r="J13" s="2">
        <v>0.13300000000000001</v>
      </c>
      <c r="L13" s="1">
        <f t="shared" ref="L12:L21" si="2">L$8/MAX(G13:G22)*G13</f>
        <v>0.09</v>
      </c>
      <c r="M13" s="2">
        <v>0.3</v>
      </c>
      <c r="P13" s="1">
        <f t="shared" si="0"/>
        <v>0.4</v>
      </c>
      <c r="Q13" s="2">
        <v>1.26</v>
      </c>
      <c r="R13" s="1">
        <v>1.3129999999999999</v>
      </c>
    </row>
    <row r="14" spans="4:18" x14ac:dyDescent="0.3">
      <c r="G14" s="1">
        <v>3</v>
      </c>
      <c r="H14" s="1">
        <f t="shared" si="1"/>
        <v>0.06</v>
      </c>
      <c r="I14" s="2">
        <v>0.19969999999999999</v>
      </c>
      <c r="J14" s="2">
        <v>0.19989999999999999</v>
      </c>
      <c r="L14" s="1">
        <f t="shared" si="2"/>
        <v>0.13500000000000001</v>
      </c>
      <c r="M14" s="2">
        <v>0.44979999999999998</v>
      </c>
      <c r="P14" s="1">
        <f t="shared" si="0"/>
        <v>0.60000000000000009</v>
      </c>
      <c r="Q14" s="2">
        <v>1.79</v>
      </c>
      <c r="R14" s="1">
        <v>1.923</v>
      </c>
    </row>
    <row r="15" spans="4:18" x14ac:dyDescent="0.3">
      <c r="G15" s="1">
        <v>4</v>
      </c>
      <c r="H15" s="1">
        <f t="shared" si="1"/>
        <v>0.08</v>
      </c>
      <c r="I15" s="2">
        <v>0.26600000000000001</v>
      </c>
      <c r="J15" s="2">
        <v>0.26600000000000001</v>
      </c>
      <c r="L15" s="1">
        <f t="shared" si="2"/>
        <v>0.18</v>
      </c>
      <c r="M15" s="2">
        <v>0.5968</v>
      </c>
      <c r="P15" s="1">
        <f t="shared" si="0"/>
        <v>0.8</v>
      </c>
      <c r="Q15" s="2">
        <v>2.23</v>
      </c>
      <c r="R15" s="1">
        <v>2.5</v>
      </c>
    </row>
    <row r="16" spans="4:18" x14ac:dyDescent="0.3">
      <c r="G16" s="1">
        <v>5</v>
      </c>
      <c r="H16" s="1">
        <f t="shared" si="1"/>
        <v>0.1</v>
      </c>
      <c r="I16" s="2">
        <v>0.33200000000000002</v>
      </c>
      <c r="J16" s="2">
        <v>0.33300000000000002</v>
      </c>
      <c r="L16" s="1">
        <f t="shared" si="2"/>
        <v>0.22499999999999998</v>
      </c>
      <c r="M16" s="2">
        <v>0.74099999999999999</v>
      </c>
      <c r="P16" s="1">
        <f t="shared" si="0"/>
        <v>1</v>
      </c>
      <c r="Q16" s="2">
        <v>2.6</v>
      </c>
      <c r="R16" s="1">
        <v>3.02</v>
      </c>
    </row>
    <row r="17" spans="7:18" x14ac:dyDescent="0.3">
      <c r="G17" s="1">
        <v>6</v>
      </c>
      <c r="H17" s="1">
        <f t="shared" si="1"/>
        <v>0.12</v>
      </c>
      <c r="I17" s="2">
        <v>0.39800000000000002</v>
      </c>
      <c r="J17" s="2">
        <v>0.39900000000000002</v>
      </c>
      <c r="L17" s="1">
        <f t="shared" si="2"/>
        <v>0.27</v>
      </c>
      <c r="M17" s="2">
        <v>0.88300000000000001</v>
      </c>
      <c r="P17" s="1">
        <f t="shared" si="0"/>
        <v>1.2000000000000002</v>
      </c>
      <c r="Q17" s="2">
        <v>2.9</v>
      </c>
      <c r="R17" s="1">
        <v>3.49</v>
      </c>
    </row>
    <row r="18" spans="7:18" x14ac:dyDescent="0.3">
      <c r="G18" s="1">
        <v>7</v>
      </c>
      <c r="H18" s="1">
        <f t="shared" si="1"/>
        <v>0.14000000000000001</v>
      </c>
      <c r="I18" s="2">
        <v>0.46300000000000002</v>
      </c>
      <c r="J18" s="2">
        <v>0.46600000000000003</v>
      </c>
      <c r="L18" s="1">
        <f t="shared" si="2"/>
        <v>0.315</v>
      </c>
      <c r="M18" s="2">
        <v>1.0209999999999999</v>
      </c>
      <c r="P18" s="1">
        <f t="shared" si="0"/>
        <v>1.4000000000000001</v>
      </c>
      <c r="Q18" s="2">
        <v>3.14</v>
      </c>
      <c r="R18" s="1">
        <v>3.92</v>
      </c>
    </row>
    <row r="19" spans="7:18" x14ac:dyDescent="0.3">
      <c r="G19" s="1">
        <v>8</v>
      </c>
      <c r="H19" s="1">
        <f t="shared" si="1"/>
        <v>0.16</v>
      </c>
      <c r="I19" s="2">
        <v>0.52900000000000003</v>
      </c>
      <c r="J19" s="2">
        <v>0.53200000000000003</v>
      </c>
      <c r="L19" s="1">
        <f t="shared" si="2"/>
        <v>0.36</v>
      </c>
      <c r="M19" s="1">
        <v>1.1566000000000001</v>
      </c>
      <c r="P19" s="1">
        <f t="shared" si="0"/>
        <v>1.6</v>
      </c>
      <c r="Q19" s="1">
        <v>3.347</v>
      </c>
      <c r="R19" s="1">
        <v>4.29</v>
      </c>
    </row>
    <row r="20" spans="7:18" x14ac:dyDescent="0.3">
      <c r="G20" s="1">
        <v>9</v>
      </c>
      <c r="H20" s="1">
        <f t="shared" si="1"/>
        <v>0.18</v>
      </c>
      <c r="I20" s="2">
        <v>0.59299999999999997</v>
      </c>
      <c r="J20" s="2">
        <v>0.59799999999999998</v>
      </c>
      <c r="L20" s="1">
        <f t="shared" si="2"/>
        <v>0.40499999999999997</v>
      </c>
      <c r="M20" s="1">
        <v>1.29</v>
      </c>
      <c r="P20" s="1">
        <f t="shared" si="0"/>
        <v>1.8</v>
      </c>
      <c r="Q20" s="1">
        <v>3.51</v>
      </c>
      <c r="R20" s="1">
        <v>4.63</v>
      </c>
    </row>
    <row r="21" spans="7:18" x14ac:dyDescent="0.3">
      <c r="G21" s="1">
        <v>10</v>
      </c>
      <c r="H21" s="1">
        <f t="shared" si="1"/>
        <v>0.2</v>
      </c>
      <c r="I21" s="2">
        <v>0.65700000000000003</v>
      </c>
      <c r="J21" s="2">
        <v>0.66400000000000003</v>
      </c>
      <c r="L21" s="1">
        <f t="shared" si="2"/>
        <v>0.44999999999999996</v>
      </c>
      <c r="M21" s="1">
        <v>1.4139999999999999</v>
      </c>
      <c r="P21" s="1">
        <f t="shared" si="0"/>
        <v>2</v>
      </c>
      <c r="Q21" s="1">
        <v>3.65</v>
      </c>
      <c r="R21" s="1">
        <v>4.93</v>
      </c>
    </row>
  </sheetData>
  <mergeCells count="3">
    <mergeCell ref="I8:J8"/>
    <mergeCell ref="M8:N8"/>
    <mergeCell ref="Q8:R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Ravichandran</dc:creator>
  <cp:lastModifiedBy>Aakash Ravichandran</cp:lastModifiedBy>
  <dcterms:created xsi:type="dcterms:W3CDTF">2025-12-04T12:50:36Z</dcterms:created>
  <dcterms:modified xsi:type="dcterms:W3CDTF">2026-02-13T17:32:20Z</dcterms:modified>
</cp:coreProperties>
</file>