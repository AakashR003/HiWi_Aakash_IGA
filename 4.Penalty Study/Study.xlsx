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Wi\Work 3 - IGA - Ricky\Tasks\4.Penalty Study\"/>
    </mc:Choice>
  </mc:AlternateContent>
  <xr:revisionPtr revIDLastSave="0" documentId="13_ncr:1_{32688095-8F3F-43AA-80AF-46558D447A0E}" xr6:coauthVersionLast="47" xr6:coauthVersionMax="47" xr10:uidLastSave="{00000000-0000-0000-0000-000000000000}"/>
  <bookViews>
    <workbookView xWindow="-108" yWindow="-108" windowWidth="23256" windowHeight="12456" xr2:uid="{2CF0A865-9767-49F5-9AAF-9E03D513E2D3}"/>
  </bookViews>
  <sheets>
    <sheet name="Sheet1" sheetId="1" r:id="rId1"/>
  </sheets>
  <definedNames>
    <definedName name="_xlchart.v1.0" hidden="1">Sheet1!$H$6:$H$17</definedName>
    <definedName name="_xlchart.v1.1" hidden="1">Sheet1!$K$6:$K$17</definedName>
    <definedName name="_xlchart.v1.2" hidden="1">Sheet1!$L$6:$L$17</definedName>
    <definedName name="_xlchart.v1.3" hidden="1">Sheet1!$H$6:$H$17</definedName>
    <definedName name="_xlchart.v1.4" hidden="1">Sheet1!$K$6:$K$17</definedName>
    <definedName name="_xlchart.v1.5" hidden="1">Sheet1!$L$6:$L$17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I33" i="1"/>
  <c r="H32" i="1"/>
  <c r="I31" i="1"/>
  <c r="I32" i="1"/>
  <c r="H31" i="1"/>
  <c r="I29" i="1"/>
  <c r="I27" i="1"/>
  <c r="I28" i="1"/>
  <c r="H29" i="1"/>
  <c r="H28" i="1"/>
  <c r="H27" i="1"/>
  <c r="I26" i="1"/>
  <c r="E25" i="1"/>
  <c r="E9" i="1"/>
  <c r="H26" i="1"/>
  <c r="I7" i="1"/>
  <c r="I8" i="1"/>
  <c r="I9" i="1"/>
  <c r="I10" i="1"/>
  <c r="I11" i="1"/>
  <c r="I13" i="1"/>
  <c r="I14" i="1"/>
  <c r="I15" i="1"/>
  <c r="I16" i="1"/>
  <c r="I17" i="1"/>
  <c r="I6" i="1"/>
  <c r="H13" i="1"/>
  <c r="H16" i="1"/>
  <c r="H17" i="1"/>
  <c r="H11" i="1"/>
  <c r="H10" i="1"/>
  <c r="H9" i="1"/>
  <c r="H8" i="1"/>
  <c r="H7" i="1"/>
  <c r="E11" i="1"/>
  <c r="H6" i="1"/>
  <c r="E6" i="1"/>
</calcChain>
</file>

<file path=xl/sharedStrings.xml><?xml version="1.0" encoding="utf-8"?>
<sst xmlns="http://schemas.openxmlformats.org/spreadsheetml/2006/main" count="20" uniqueCount="13">
  <si>
    <t>Youngus Modulus</t>
  </si>
  <si>
    <t>Thickness</t>
  </si>
  <si>
    <t>Poisson ratios</t>
  </si>
  <si>
    <t>h</t>
  </si>
  <si>
    <t>penalty</t>
  </si>
  <si>
    <t>Modified displacement penalty</t>
  </si>
  <si>
    <t>Modified rotation penalty</t>
  </si>
  <si>
    <t>penalty factor</t>
  </si>
  <si>
    <t>Scaled displacement with standard penalty</t>
  </si>
  <si>
    <t>Scaled displacement with modified penalty</t>
  </si>
  <si>
    <t xml:space="preserve">Displacement reference </t>
  </si>
  <si>
    <t>Conforming patches</t>
  </si>
  <si>
    <t>Non Conforming patches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</si>
</sst>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.5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1" fillId="2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>
                <a:latin typeface="Times New Roman" panose="02020603050405020304" pitchFamily="18" charset="0"/>
                <a:cs typeface="Times New Roman" panose="02020603050405020304" pitchFamily="18" charset="0"/>
              </a:rPr>
              <a:t>Conforming Penalty</a:t>
            </a:r>
            <a:r>
              <a:rPr lang="en-GB" sz="16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Study</a:t>
            </a:r>
            <a:endParaRPr lang="en-GB" sz="16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 Penalty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Sheet1!$H$6:$H$17</c:f>
              <c:numCache>
                <c:formatCode>0.00E+00</c:formatCode>
                <c:ptCount val="12"/>
                <c:pt idx="0">
                  <c:v>432000000</c:v>
                </c:pt>
                <c:pt idx="1">
                  <c:v>4320000</c:v>
                </c:pt>
                <c:pt idx="2">
                  <c:v>43200</c:v>
                </c:pt>
                <c:pt idx="3">
                  <c:v>432</c:v>
                </c:pt>
                <c:pt idx="4">
                  <c:v>4.32</c:v>
                </c:pt>
                <c:pt idx="5" formatCode="General">
                  <c:v>4.3200000000000002E-2</c:v>
                </c:pt>
                <c:pt idx="7">
                  <c:v>4320000000</c:v>
                </c:pt>
                <c:pt idx="8">
                  <c:v>43200000000</c:v>
                </c:pt>
                <c:pt idx="9">
                  <c:v>4320000000000</c:v>
                </c:pt>
                <c:pt idx="10" formatCode="General">
                  <c:v>432000000000000</c:v>
                </c:pt>
                <c:pt idx="11" formatCode="General">
                  <c:v>4.32E+16</c:v>
                </c:pt>
              </c:numCache>
            </c:numRef>
          </c:xVal>
          <c:yVal>
            <c:numRef>
              <c:f>Sheet1!$K$6:$K$17</c:f>
              <c:numCache>
                <c:formatCode>General</c:formatCode>
                <c:ptCount val="12"/>
                <c:pt idx="0">
                  <c:v>0.30470000000000003</c:v>
                </c:pt>
                <c:pt idx="1">
                  <c:v>0.30470000000000003</c:v>
                </c:pt>
                <c:pt idx="2">
                  <c:v>0.30470000000000003</c:v>
                </c:pt>
                <c:pt idx="3">
                  <c:v>0.30470000000000003</c:v>
                </c:pt>
                <c:pt idx="4">
                  <c:v>0.3054</c:v>
                </c:pt>
                <c:pt idx="5">
                  <c:v>58.872999999999998</c:v>
                </c:pt>
                <c:pt idx="7">
                  <c:v>0.30059999999999998</c:v>
                </c:pt>
                <c:pt idx="8">
                  <c:v>0.30680000000000002</c:v>
                </c:pt>
                <c:pt idx="9">
                  <c:v>0.41360000000000002</c:v>
                </c:pt>
                <c:pt idx="10">
                  <c:v>6.8140000000000001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99-4540-B4DD-BF4C0C6AD2EF}"/>
            </c:ext>
          </c:extLst>
        </c:ser>
        <c:ser>
          <c:idx val="1"/>
          <c:order val="1"/>
          <c:tx>
            <c:v>Modified Penalty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Sheet1!$H$6:$H$17</c:f>
              <c:numCache>
                <c:formatCode>0.00E+00</c:formatCode>
                <c:ptCount val="12"/>
                <c:pt idx="0">
                  <c:v>432000000</c:v>
                </c:pt>
                <c:pt idx="1">
                  <c:v>4320000</c:v>
                </c:pt>
                <c:pt idx="2">
                  <c:v>43200</c:v>
                </c:pt>
                <c:pt idx="3">
                  <c:v>432</c:v>
                </c:pt>
                <c:pt idx="4">
                  <c:v>4.32</c:v>
                </c:pt>
                <c:pt idx="5" formatCode="General">
                  <c:v>4.3200000000000002E-2</c:v>
                </c:pt>
                <c:pt idx="7">
                  <c:v>4320000000</c:v>
                </c:pt>
                <c:pt idx="8">
                  <c:v>43200000000</c:v>
                </c:pt>
                <c:pt idx="9">
                  <c:v>4320000000000</c:v>
                </c:pt>
                <c:pt idx="10" formatCode="General">
                  <c:v>432000000000000</c:v>
                </c:pt>
                <c:pt idx="11" formatCode="General">
                  <c:v>4.32E+16</c:v>
                </c:pt>
              </c:numCache>
            </c:numRef>
          </c:xVal>
          <c:yVal>
            <c:numRef>
              <c:f>Sheet1!$L$6:$L$17</c:f>
              <c:numCache>
                <c:formatCode>General</c:formatCode>
                <c:ptCount val="12"/>
                <c:pt idx="0">
                  <c:v>0.3004</c:v>
                </c:pt>
                <c:pt idx="1">
                  <c:v>0.3004</c:v>
                </c:pt>
                <c:pt idx="2">
                  <c:v>0.3004</c:v>
                </c:pt>
                <c:pt idx="3">
                  <c:v>0.3004</c:v>
                </c:pt>
                <c:pt idx="4">
                  <c:v>0.3004</c:v>
                </c:pt>
                <c:pt idx="5">
                  <c:v>0.3004</c:v>
                </c:pt>
                <c:pt idx="7">
                  <c:v>0.3004</c:v>
                </c:pt>
                <c:pt idx="8">
                  <c:v>0.3004</c:v>
                </c:pt>
                <c:pt idx="9">
                  <c:v>0.3004</c:v>
                </c:pt>
                <c:pt idx="10">
                  <c:v>0.3004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99-4540-B4DD-BF4C0C6AD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918559"/>
        <c:axId val="1657919039"/>
      </c:scatterChart>
      <c:valAx>
        <c:axId val="165791855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Youngs Modulus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19039"/>
        <c:crossesAt val="1.0000000000000003E-4"/>
        <c:crossBetween val="midCat"/>
      </c:valAx>
      <c:valAx>
        <c:axId val="1657919039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Scaled</a:t>
                </a:r>
                <a:r>
                  <a:rPr lang="en-GB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Maximum</a:t>
                </a:r>
                <a:r>
                  <a:rPr lang="en-GB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Displacement</a:t>
                </a:r>
                <a:endParaRPr lang="en-GB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1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Non Conforming Penalty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 Penalty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Sheet1!$H$26:$H$33</c:f>
              <c:numCache>
                <c:formatCode>0.00E+00</c:formatCode>
                <c:ptCount val="8"/>
                <c:pt idx="0">
                  <c:v>432000000</c:v>
                </c:pt>
                <c:pt idx="1">
                  <c:v>432</c:v>
                </c:pt>
                <c:pt idx="2">
                  <c:v>4.32</c:v>
                </c:pt>
                <c:pt idx="3">
                  <c:v>4.3200000000000002E-2</c:v>
                </c:pt>
                <c:pt idx="5">
                  <c:v>4320000000</c:v>
                </c:pt>
                <c:pt idx="6">
                  <c:v>43200000000</c:v>
                </c:pt>
                <c:pt idx="7">
                  <c:v>4320000000000</c:v>
                </c:pt>
              </c:numCache>
            </c:numRef>
          </c:xVal>
          <c:yVal>
            <c:numRef>
              <c:f>Sheet1!$K$26:$K$33</c:f>
              <c:numCache>
                <c:formatCode>General</c:formatCode>
                <c:ptCount val="8"/>
                <c:pt idx="0">
                  <c:v>0.3019</c:v>
                </c:pt>
                <c:pt idx="1">
                  <c:v>0.29899999999999999</c:v>
                </c:pt>
                <c:pt idx="2">
                  <c:v>0.29799999999999999</c:v>
                </c:pt>
                <c:pt idx="3">
                  <c:v>7.1500000000000001E-3</c:v>
                </c:pt>
                <c:pt idx="5">
                  <c:v>0.30230000000000001</c:v>
                </c:pt>
                <c:pt idx="6">
                  <c:v>3.0430000000000001</c:v>
                </c:pt>
                <c:pt idx="7">
                  <c:v>4.1700000000000001E-3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9-4B68-A1B8-C95117DB07B7}"/>
            </c:ext>
          </c:extLst>
        </c:ser>
        <c:ser>
          <c:idx val="1"/>
          <c:order val="1"/>
          <c:tx>
            <c:v>Modified Penalty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Sheet1!$H$26:$H$33</c:f>
              <c:numCache>
                <c:formatCode>0.00E+00</c:formatCode>
                <c:ptCount val="8"/>
                <c:pt idx="0">
                  <c:v>432000000</c:v>
                </c:pt>
                <c:pt idx="1">
                  <c:v>432</c:v>
                </c:pt>
                <c:pt idx="2">
                  <c:v>4.32</c:v>
                </c:pt>
                <c:pt idx="3">
                  <c:v>4.3200000000000002E-2</c:v>
                </c:pt>
                <c:pt idx="5">
                  <c:v>4320000000</c:v>
                </c:pt>
                <c:pt idx="6">
                  <c:v>43200000000</c:v>
                </c:pt>
                <c:pt idx="7">
                  <c:v>4320000000000</c:v>
                </c:pt>
              </c:numCache>
            </c:numRef>
          </c:xVal>
          <c:yVal>
            <c:numRef>
              <c:f>Sheet1!$L$26:$L$33</c:f>
              <c:numCache>
                <c:formatCode>General</c:formatCode>
                <c:ptCount val="8"/>
                <c:pt idx="0">
                  <c:v>0.30120000000000002</c:v>
                </c:pt>
                <c:pt idx="1">
                  <c:v>0.30120000000000002</c:v>
                </c:pt>
                <c:pt idx="2">
                  <c:v>0.30120000000000002</c:v>
                </c:pt>
                <c:pt idx="3">
                  <c:v>0.30120000000000002</c:v>
                </c:pt>
                <c:pt idx="5">
                  <c:v>0.30120000000000002</c:v>
                </c:pt>
                <c:pt idx="6">
                  <c:v>0.30120000000000002</c:v>
                </c:pt>
                <c:pt idx="7">
                  <c:v>0.30120000000000002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79-4B68-A1B8-C95117DB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918559"/>
        <c:axId val="1657919039"/>
      </c:scatterChart>
      <c:valAx>
        <c:axId val="165791855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Youngs</a:t>
                </a:r>
                <a:r>
                  <a:rPr lang="en-GB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Modulus</a:t>
                </a:r>
                <a:endParaRPr lang="en-GB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19039"/>
        <c:crossesAt val="1.0000000000000003E-4"/>
        <c:crossBetween val="midCat"/>
        <c:majorUnit val="100"/>
      </c:valAx>
      <c:valAx>
        <c:axId val="1657919039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Scaled Maximum Displacement</a:t>
                </a:r>
                <a:r>
                  <a:rPr lang="en-GB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GB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18559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93580</xdr:colOff>
      <xdr:row>2</xdr:row>
      <xdr:rowOff>25612</xdr:rowOff>
    </xdr:from>
    <xdr:to>
      <xdr:col>31</xdr:col>
      <xdr:colOff>36871</xdr:colOff>
      <xdr:row>23</xdr:row>
      <xdr:rowOff>73742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AA120F-CD0C-81D5-BF3B-0D7B2BA90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100642</xdr:colOff>
      <xdr:row>25</xdr:row>
      <xdr:rowOff>71887</xdr:rowOff>
    </xdr:from>
    <xdr:to>
      <xdr:col>31</xdr:col>
      <xdr:colOff>54179</xdr:colOff>
      <xdr:row>46</xdr:row>
      <xdr:rowOff>200958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2CFD1D-6F1F-47E7-9A8A-4BD4ED5AC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5FBD-05AE-4312-A9BB-6A4114A72BF9}">
  <dimension ref="D3:N34"/>
  <sheetViews>
    <sheetView tabSelected="1" zoomScale="45" zoomScaleNormal="157" workbookViewId="0">
      <selection activeCell="AG18" sqref="AG18"/>
    </sheetView>
  </sheetViews>
  <sheetFormatPr defaultRowHeight="16.2" x14ac:dyDescent="0.3"/>
  <cols>
    <col min="1" max="3" width="8.88671875" style="1"/>
    <col min="4" max="4" width="23.88671875" style="1" bestFit="1" customWidth="1"/>
    <col min="5" max="5" width="12.44140625" style="1" bestFit="1" customWidth="1"/>
    <col min="6" max="7" width="8.88671875" style="1"/>
    <col min="8" max="8" width="18.5546875" style="1" bestFit="1" customWidth="1"/>
    <col min="9" max="9" width="30.21875" style="1" bestFit="1" customWidth="1"/>
    <col min="10" max="10" width="10.6640625" style="1" customWidth="1"/>
    <col min="11" max="11" width="20.6640625" style="1" customWidth="1"/>
    <col min="12" max="12" width="8.88671875" style="1"/>
    <col min="13" max="13" width="10.33203125" style="1" bestFit="1" customWidth="1"/>
    <col min="14" max="16384" width="8.88671875" style="1"/>
  </cols>
  <sheetData>
    <row r="3" spans="4:12" ht="21" x14ac:dyDescent="0.4">
      <c r="H3" s="4" t="s">
        <v>11</v>
      </c>
      <c r="I3" s="4"/>
    </row>
    <row r="5" spans="4:12" x14ac:dyDescent="0.3">
      <c r="H5" s="1" t="s">
        <v>0</v>
      </c>
      <c r="I5" s="1" t="s">
        <v>5</v>
      </c>
      <c r="J5" s="1" t="s">
        <v>6</v>
      </c>
      <c r="K5" s="1" t="s">
        <v>8</v>
      </c>
      <c r="L5" s="1" t="s">
        <v>9</v>
      </c>
    </row>
    <row r="6" spans="4:12" x14ac:dyDescent="0.3">
      <c r="D6" s="1" t="s">
        <v>0</v>
      </c>
      <c r="E6" s="2">
        <f>432000000</f>
        <v>432000000</v>
      </c>
      <c r="H6" s="2">
        <f>432000000</f>
        <v>432000000</v>
      </c>
      <c r="I6" s="2">
        <f>$H6*$E$7/(1-$E$8*$E$8)/$E$9 * $E$10</f>
        <v>144000000000</v>
      </c>
      <c r="J6" s="2"/>
      <c r="K6" s="1">
        <v>0.30470000000000003</v>
      </c>
      <c r="L6" s="1">
        <v>0.3004</v>
      </c>
    </row>
    <row r="7" spans="4:12" x14ac:dyDescent="0.3">
      <c r="D7" s="1" t="s">
        <v>1</v>
      </c>
      <c r="E7" s="1">
        <v>0.25</v>
      </c>
      <c r="H7" s="2">
        <f>4320000</f>
        <v>4320000</v>
      </c>
      <c r="I7" s="2">
        <f t="shared" ref="I7:I17" si="0">$H7*$E$7/(1-$E$8*$E$8)/$E$9 * $E$10</f>
        <v>1440000000</v>
      </c>
      <c r="K7" s="1">
        <v>0.30470000000000003</v>
      </c>
      <c r="L7" s="1">
        <v>0.3004</v>
      </c>
    </row>
    <row r="8" spans="4:12" x14ac:dyDescent="0.3">
      <c r="D8" s="1" t="s">
        <v>2</v>
      </c>
      <c r="E8" s="1">
        <v>0</v>
      </c>
      <c r="H8" s="2">
        <f>43200</f>
        <v>43200</v>
      </c>
      <c r="I8" s="2">
        <f t="shared" si="0"/>
        <v>14400000</v>
      </c>
      <c r="K8" s="1">
        <v>0.30470000000000003</v>
      </c>
      <c r="L8" s="1">
        <v>0.3004</v>
      </c>
    </row>
    <row r="9" spans="4:12" x14ac:dyDescent="0.3">
      <c r="D9" s="1" t="s">
        <v>3</v>
      </c>
      <c r="E9" s="1">
        <f>3/4</f>
        <v>0.75</v>
      </c>
      <c r="H9" s="2">
        <f>432</f>
        <v>432</v>
      </c>
      <c r="I9" s="2">
        <f t="shared" si="0"/>
        <v>144000</v>
      </c>
      <c r="K9" s="1">
        <v>0.30470000000000003</v>
      </c>
      <c r="L9" s="1">
        <v>0.3004</v>
      </c>
    </row>
    <row r="10" spans="4:12" x14ac:dyDescent="0.3">
      <c r="D10" s="1" t="s">
        <v>7</v>
      </c>
      <c r="E10" s="1">
        <v>1000</v>
      </c>
      <c r="H10" s="2">
        <f>4.32</f>
        <v>4.32</v>
      </c>
      <c r="I10" s="2">
        <f t="shared" si="0"/>
        <v>1440.0000000000002</v>
      </c>
      <c r="K10" s="1">
        <v>0.3054</v>
      </c>
      <c r="L10" s="1">
        <v>0.3004</v>
      </c>
    </row>
    <row r="11" spans="4:12" x14ac:dyDescent="0.3">
      <c r="D11" s="1" t="s">
        <v>4</v>
      </c>
      <c r="E11" s="2">
        <f>10000000000</f>
        <v>10000000000</v>
      </c>
      <c r="H11" s="1">
        <f>0.0432</f>
        <v>4.3200000000000002E-2</v>
      </c>
      <c r="I11" s="2">
        <f t="shared" si="0"/>
        <v>14.400000000000002</v>
      </c>
      <c r="K11" s="3">
        <v>58.872999999999998</v>
      </c>
      <c r="L11" s="1">
        <v>0.3004</v>
      </c>
    </row>
    <row r="12" spans="4:12" x14ac:dyDescent="0.3">
      <c r="D12" s="1" t="s">
        <v>10</v>
      </c>
      <c r="E12" s="1">
        <v>0.30059999999999998</v>
      </c>
      <c r="I12" s="2"/>
    </row>
    <row r="13" spans="4:12" x14ac:dyDescent="0.3">
      <c r="H13" s="2">
        <f>4320000000</f>
        <v>4320000000</v>
      </c>
      <c r="I13" s="2">
        <f t="shared" si="0"/>
        <v>1440000000000</v>
      </c>
      <c r="K13" s="1">
        <v>0.30059999999999998</v>
      </c>
      <c r="L13" s="1">
        <v>0.3004</v>
      </c>
    </row>
    <row r="14" spans="4:12" x14ac:dyDescent="0.3">
      <c r="H14" s="2">
        <v>43200000000</v>
      </c>
      <c r="I14" s="2">
        <f t="shared" si="0"/>
        <v>14400000000000</v>
      </c>
      <c r="K14" s="1">
        <v>0.30680000000000002</v>
      </c>
      <c r="L14" s="1">
        <v>0.3004</v>
      </c>
    </row>
    <row r="15" spans="4:12" x14ac:dyDescent="0.3">
      <c r="H15" s="2">
        <v>4320000000000</v>
      </c>
      <c r="I15" s="2">
        <f t="shared" si="0"/>
        <v>1440000000000000</v>
      </c>
      <c r="K15" s="1">
        <v>0.41360000000000002</v>
      </c>
      <c r="L15" s="1">
        <v>0.3004</v>
      </c>
    </row>
    <row r="16" spans="4:12" x14ac:dyDescent="0.3">
      <c r="H16" s="1">
        <f>432000000000000</f>
        <v>432000000000000</v>
      </c>
      <c r="I16" s="2">
        <f t="shared" si="0"/>
        <v>1.44E+17</v>
      </c>
      <c r="K16" s="3">
        <v>6.8140000000000001</v>
      </c>
      <c r="L16" s="1">
        <v>0.3004</v>
      </c>
    </row>
    <row r="17" spans="4:14" x14ac:dyDescent="0.3">
      <c r="H17" s="1">
        <f>43200000000000000</f>
        <v>4.32E+16</v>
      </c>
      <c r="I17" s="2">
        <f t="shared" si="0"/>
        <v>1.44E+19</v>
      </c>
      <c r="M17" s="1">
        <v>612.74</v>
      </c>
      <c r="N17" s="1">
        <v>0.3004</v>
      </c>
    </row>
    <row r="23" spans="4:14" ht="21" x14ac:dyDescent="0.4">
      <c r="H23" s="4" t="s">
        <v>12</v>
      </c>
      <c r="I23" s="4"/>
    </row>
    <row r="25" spans="4:14" x14ac:dyDescent="0.3">
      <c r="D25" s="1" t="s">
        <v>3</v>
      </c>
      <c r="E25" s="1">
        <f>10/2/8</f>
        <v>0.625</v>
      </c>
      <c r="H25" s="1" t="s">
        <v>0</v>
      </c>
      <c r="I25" s="1" t="s">
        <v>5</v>
      </c>
      <c r="J25" s="1" t="s">
        <v>6</v>
      </c>
      <c r="K25" s="1" t="s">
        <v>8</v>
      </c>
      <c r="L25" s="1" t="s">
        <v>9</v>
      </c>
    </row>
    <row r="26" spans="4:14" x14ac:dyDescent="0.3">
      <c r="H26" s="2">
        <f>432000000</f>
        <v>432000000</v>
      </c>
      <c r="I26" s="2">
        <f>$H26*$E$7/(1-$E$8*$E$8)/$E$25 * $E$10</f>
        <v>172800000000</v>
      </c>
      <c r="J26" s="2"/>
      <c r="K26" s="1">
        <v>0.3019</v>
      </c>
      <c r="L26" s="1">
        <v>0.30120000000000002</v>
      </c>
    </row>
    <row r="27" spans="4:14" x14ac:dyDescent="0.3">
      <c r="H27" s="2">
        <f>432</f>
        <v>432</v>
      </c>
      <c r="I27" s="2">
        <f t="shared" ref="I27:I29" si="1">$H27*$E$7/(1-$E$8*$E$8)/$E$25 * $E$10</f>
        <v>172800</v>
      </c>
      <c r="K27" s="1">
        <v>0.29899999999999999</v>
      </c>
      <c r="L27" s="1">
        <v>0.30120000000000002</v>
      </c>
    </row>
    <row r="28" spans="4:14" x14ac:dyDescent="0.3">
      <c r="H28" s="2">
        <f>4.32</f>
        <v>4.32</v>
      </c>
      <c r="I28" s="2">
        <f t="shared" si="1"/>
        <v>1728.0000000000002</v>
      </c>
      <c r="K28" s="1">
        <v>0.29799999999999999</v>
      </c>
      <c r="L28" s="1">
        <v>0.30120000000000002</v>
      </c>
    </row>
    <row r="29" spans="4:14" x14ac:dyDescent="0.3">
      <c r="H29" s="2">
        <f>0.0432</f>
        <v>4.3200000000000002E-2</v>
      </c>
      <c r="I29" s="2">
        <f>$H29*$E$7/(1-$E$8*$E$8)/$E$25 * $E$10</f>
        <v>17.28</v>
      </c>
      <c r="K29" s="3">
        <v>7.1500000000000001E-3</v>
      </c>
      <c r="L29" s="1">
        <v>0.30120000000000002</v>
      </c>
    </row>
    <row r="30" spans="4:14" x14ac:dyDescent="0.3">
      <c r="I30" s="2"/>
    </row>
    <row r="31" spans="4:14" x14ac:dyDescent="0.3">
      <c r="H31" s="2">
        <f>4320000000</f>
        <v>4320000000</v>
      </c>
      <c r="I31" s="2">
        <f t="shared" ref="I30:I34" si="2">$H31*$E$7/(1-$E$8*$E$8)/$E$25 * $E$10</f>
        <v>1728000000000</v>
      </c>
      <c r="K31" s="1">
        <v>0.30230000000000001</v>
      </c>
      <c r="L31" s="1">
        <v>0.30120000000000002</v>
      </c>
    </row>
    <row r="32" spans="4:14" x14ac:dyDescent="0.3">
      <c r="H32" s="2">
        <f>43200000000</f>
        <v>43200000000</v>
      </c>
      <c r="I32" s="2">
        <f t="shared" si="2"/>
        <v>17280000000000</v>
      </c>
      <c r="K32" s="1">
        <v>3.0430000000000001</v>
      </c>
      <c r="L32" s="1">
        <v>0.30120000000000002</v>
      </c>
    </row>
    <row r="33" spans="8:12" x14ac:dyDescent="0.3">
      <c r="H33" s="2">
        <f>4320000000000</f>
        <v>4320000000000</v>
      </c>
      <c r="I33" s="2">
        <f t="shared" si="2"/>
        <v>1728000000000000</v>
      </c>
      <c r="K33" s="3">
        <v>4.1700000000000001E-3</v>
      </c>
      <c r="L33" s="1">
        <v>0.30120000000000002</v>
      </c>
    </row>
    <row r="34" spans="8:12" x14ac:dyDescent="0.3">
      <c r="H34" s="2"/>
      <c r="I34" s="2"/>
    </row>
  </sheetData>
  <mergeCells count="2">
    <mergeCell ref="H3:I3"/>
    <mergeCell ref="H23:I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Ravichandran</dc:creator>
  <cp:lastModifiedBy>Aakash Ravichandran</cp:lastModifiedBy>
  <dcterms:created xsi:type="dcterms:W3CDTF">2025-12-10T14:20:23Z</dcterms:created>
  <dcterms:modified xsi:type="dcterms:W3CDTF">2025-12-10T16:20:40Z</dcterms:modified>
</cp:coreProperties>
</file>